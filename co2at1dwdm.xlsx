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1 Duplicate Detection" sheetId="1" state="visible" r:id="rId3"/>
    <sheet name="Q2 Covariance" sheetId="2" state="visible" r:id="rId4"/>
    <sheet name="Q3 Outlier Z-Score" sheetId="3" state="visible" r:id="rId5"/>
    <sheet name="Q4 Equal-Width Binning" sheetId="4" state="visible" r:id="rId6"/>
    <sheet name="Q5 Standardization"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<sst xmlns="http://schemas.openxmlformats.org/spreadsheetml/2006/main" count="96" uniqueCount="73">
  <si>
    <t xml:space="preserve">Q1: Data Cleaning using Duplicate Detection (Patient Registration)</t>
  </si>
  <si>
    <t xml:space="preserve">Step 1: Original Records with Duplicate Flag</t>
  </si>
  <si>
    <t xml:space="preserve">S.No</t>
  </si>
  <si>
    <t xml:space="preserve">Patient ID</t>
  </si>
  <si>
    <t xml:space="preserve">Occurrence Count (in list)</t>
  </si>
  <si>
    <t xml:space="preserve">Duplicate? (Y/N)</t>
  </si>
  <si>
    <t xml:space="preserve">P101</t>
  </si>
  <si>
    <t xml:space="preserve">P102</t>
  </si>
  <si>
    <t xml:space="preserve">P105</t>
  </si>
  <si>
    <t xml:space="preserve">P103</t>
  </si>
  <si>
    <t xml:space="preserve">P107</t>
  </si>
  <si>
    <t xml:space="preserve">P108</t>
  </si>
  <si>
    <t xml:space="preserve">P110</t>
  </si>
  <si>
    <t xml:space="preserve">P112</t>
  </si>
  <si>
    <t xml:space="preserve">Step 2: Unique Patient List (duplicates removed)</t>
  </si>
  <si>
    <t xml:space="preserve">Unique Patient ID</t>
  </si>
  <si>
    <t xml:space="preserve">Step 3: Summary</t>
  </si>
  <si>
    <t xml:space="preserve">Total Records Extracted:</t>
  </si>
  <si>
    <t xml:space="preserve">Duplicate ID Values Found:</t>
  </si>
  <si>
    <t xml:space="preserve">Number of Duplicate (extra) entries removed:</t>
  </si>
  <si>
    <t xml:space="preserve">Number of Unique Patients:</t>
  </si>
  <si>
    <t xml:space="preserve">Q2: Covariance Analysis between Treatment Cost and Hospital Stay</t>
  </si>
  <si>
    <t xml:space="preserve">Treatment Cost x (₹ '000)</t>
  </si>
  <si>
    <t xml:space="preserve">Hospital Stay y (days)</t>
  </si>
  <si>
    <t xml:space="preserve">x - mean(x)</t>
  </si>
  <si>
    <t xml:space="preserve">y - mean(y)</t>
  </si>
  <si>
    <t xml:space="preserve">(x-mean x) * (y-mean y)</t>
  </si>
  <si>
    <t xml:space="preserve">Sum -&gt;</t>
  </si>
  <si>
    <t xml:space="preserve">Mean (x, y) -&gt;</t>
  </si>
  <si>
    <t xml:space="preserve">Covariance Calculation</t>
  </si>
  <si>
    <t xml:space="preserve">Population Covariance  Cov(x,y) = Σ[(x-x̄)(y-ȳ)] / n</t>
  </si>
  <si>
    <t xml:space="preserve">Sample Covariance  Cov(x,y) = Σ[(x-x̄)(y-ȳ)] / (n-1)</t>
  </si>
  <si>
    <t xml:space="preserve">Interpretation</t>
  </si>
  <si>
    <t xml:space="preserve">The covariance between treatment cost and hospital stay is positive (Cov ≈ +15, sample basis / +12, population basis). This indicates a positive relationship: as the treatment cost increases, the duration of hospital stay also tends to increase. Patients with higher treatment costs are generally associated with longer hospital stays, which is clinically intuitive since more severe/complex cases require both longer stays and more expensive treatment.</t>
  </si>
  <si>
    <t xml:space="preserve">Q3: Outlier Detection using Z-Score (Patient Recovery Time)</t>
  </si>
  <si>
    <t xml:space="preserve">Recovery Time (days)</t>
  </si>
  <si>
    <t xml:space="preserve">x - mean</t>
  </si>
  <si>
    <t xml:space="preserve">(x-mean)^2</t>
  </si>
  <si>
    <t xml:space="preserve">Z-score = (x-mean)/std</t>
  </si>
  <si>
    <t xml:space="preserve">Sum of squares -&gt;</t>
  </si>
  <si>
    <t xml:space="preserve">Mean:</t>
  </si>
  <si>
    <t xml:space="preserve">Standard Deviation (population):</t>
  </si>
  <si>
    <t xml:space="preserve">Outlier Identification (|z| &gt; 3)</t>
  </si>
  <si>
    <t xml:space="preserve">Observation</t>
  </si>
  <si>
    <t xml:space="preserve">Z-score</t>
  </si>
  <si>
    <t xml:space="preserve">Is Outlier (|z|&gt;3)?</t>
  </si>
  <si>
    <t xml:space="preserve">Conclusion: Only the value 35 has |z| &gt; 3, so it is identified as the sole outlier in the dataset.</t>
  </si>
  <si>
    <t xml:space="preserve">Q4: Data Discretization using Equal-Width Binning (Blood Glucose Levels)</t>
  </si>
  <si>
    <t xml:space="preserve">Bin Width Calculation</t>
  </si>
  <si>
    <t xml:space="preserve">Minimum value:</t>
  </si>
  <si>
    <t xml:space="preserve">Maximum value:</t>
  </si>
  <si>
    <t xml:space="preserve">Range (Max - Min):</t>
  </si>
  <si>
    <t xml:space="preserve">Number of bins:</t>
  </si>
  <si>
    <t xml:space="preserve">Bin width (Range / bins):</t>
  </si>
  <si>
    <t xml:space="preserve">Bin Boundaries</t>
  </si>
  <si>
    <t xml:space="preserve">Bin</t>
  </si>
  <si>
    <t xml:space="preserve">Lower Boundary</t>
  </si>
  <si>
    <t xml:space="preserve">Upper Boundary</t>
  </si>
  <si>
    <t xml:space="preserve">Bin 1</t>
  </si>
  <si>
    <t xml:space="preserve">Bin 2</t>
  </si>
  <si>
    <t xml:space="preserve">Bin 3</t>
  </si>
  <si>
    <t xml:space="preserve">Transformed Dataset (Smoothing by Bin Boundaries — each value replaced by nearest bin edge)</t>
  </si>
  <si>
    <t xml:space="preserve">Original Value</t>
  </si>
  <si>
    <t xml:space="preserve">Assigned Bin</t>
  </si>
  <si>
    <t xml:space="preserve">Nearest Lower Edge Dist</t>
  </si>
  <si>
    <t xml:space="preserve">Nearest Upper Edge Dist</t>
  </si>
  <si>
    <t xml:space="preserve">Transformed Value</t>
  </si>
  <si>
    <t xml:space="preserve">Q5: Standardization of Insurance Claim Amounts</t>
  </si>
  <si>
    <t xml:space="preserve">Claim Amount (₹ '000)</t>
  </si>
  <si>
    <t xml:space="preserve">Claims Above One Standard Deviation from the Mean (z &gt; 1, i.e. value &gt; mean + 1×SD)</t>
  </si>
  <si>
    <t xml:space="preserve">Upper Threshold (mean + 1 SD):</t>
  </si>
  <si>
    <t xml:space="preserve">Claim Amount</t>
  </si>
  <si>
    <t xml:space="preserve">Above 1 SD? (z&gt;1)</t>
  </si>
</sst>
</file>

<file path=xl/styles.xml><?xml version="1.0" encoding="utf-8"?>
<styleSheet xmlns="http://schemas.openxmlformats.org/spreadsheetml/2006/main">
  <numFmts count="2">
    <numFmt numFmtId="164" formatCode="General"/>
    <numFmt numFmtId="165" formatCode="General"/>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b val="true"/>
      <sz val="11"/>
      <color rgb="FFFFFFFF"/>
      <name val="Arial"/>
      <family val="0"/>
      <charset val="1"/>
    </font>
    <font>
      <sz val="11"/>
      <name val="Arial"/>
      <family val="0"/>
      <charset val="1"/>
    </font>
  </fonts>
  <fills count="5">
    <fill>
      <patternFill patternType="none"/>
    </fill>
    <fill>
      <patternFill patternType="gray125"/>
    </fill>
    <fill>
      <patternFill patternType="solid">
        <fgColor rgb="FF4472C4"/>
        <bgColor rgb="FF666699"/>
      </patternFill>
    </fill>
    <fill>
      <patternFill patternType="solid">
        <fgColor rgb="FFFFEB9C"/>
        <bgColor rgb="FFFFFFCC"/>
      </patternFill>
    </fill>
    <fill>
      <patternFill patternType="solid">
        <fgColor rgb="FFFFC7CE"/>
        <bgColor rgb="FFFFEB9C"/>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FC7CE"/>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26"/>
    <col collapsed="false" customWidth="true" hidden="false" outlineLevel="0" max="4" min="4" style="0" width="18"/>
  </cols>
  <sheetData>
    <row r="1" customFormat="false" ht="17.35" hidden="false" customHeight="false" outlineLevel="0" collapsed="false">
      <c r="A1" s="1" t="s">
        <v>0</v>
      </c>
      <c r="B1" s="1"/>
      <c r="C1" s="1"/>
      <c r="D1" s="1"/>
    </row>
    <row r="3" customFormat="false" ht="15" hidden="false" customHeight="false" outlineLevel="0" collapsed="false">
      <c r="A3" s="2" t="s">
        <v>1</v>
      </c>
      <c r="B3" s="2"/>
      <c r="C3" s="2"/>
      <c r="D3" s="2"/>
    </row>
    <row r="4" customFormat="false" ht="15" hidden="false" customHeight="false" outlineLevel="0" collapsed="false">
      <c r="A4" s="3" t="s">
        <v>2</v>
      </c>
      <c r="B4" s="3" t="s">
        <v>3</v>
      </c>
      <c r="C4" s="3" t="s">
        <v>4</v>
      </c>
      <c r="D4" s="3" t="s">
        <v>5</v>
      </c>
    </row>
    <row r="5" customFormat="false" ht="15" hidden="false" customHeight="false" outlineLevel="0" collapsed="false">
      <c r="A5" s="4" t="n">
        <v>1</v>
      </c>
      <c r="B5" s="4" t="s">
        <v>6</v>
      </c>
      <c r="C5" s="4" t="n">
        <f aca="false">COUNTIF($B$5:$B$14,B5)</f>
        <v>1</v>
      </c>
      <c r="D5" s="5" t="str">
        <f aca="false">IF(C5&gt;1,"Yes","No")</f>
        <v>No</v>
      </c>
    </row>
    <row r="6" customFormat="false" ht="15" hidden="false" customHeight="false" outlineLevel="0" collapsed="false">
      <c r="A6" s="4" t="n">
        <v>2</v>
      </c>
      <c r="B6" s="4" t="s">
        <v>7</v>
      </c>
      <c r="C6" s="4" t="n">
        <f aca="false">COUNTIF($B$5:$B$14,B6)</f>
        <v>1</v>
      </c>
      <c r="D6" s="5" t="str">
        <f aca="false">IF(C6&gt;1,"Yes","No")</f>
        <v>No</v>
      </c>
    </row>
    <row r="7" customFormat="false" ht="15" hidden="false" customHeight="false" outlineLevel="0" collapsed="false">
      <c r="A7" s="4" t="n">
        <v>3</v>
      </c>
      <c r="B7" s="4" t="s">
        <v>8</v>
      </c>
      <c r="C7" s="4" t="n">
        <f aca="false">COUNTIF($B$5:$B$14,B7)</f>
        <v>2</v>
      </c>
      <c r="D7" s="6" t="str">
        <f aca="false">IF(C7&gt;1,"Yes","No")</f>
        <v>Yes</v>
      </c>
    </row>
    <row r="8" customFormat="false" ht="15" hidden="false" customHeight="false" outlineLevel="0" collapsed="false">
      <c r="A8" s="4" t="n">
        <v>4</v>
      </c>
      <c r="B8" s="4" t="s">
        <v>9</v>
      </c>
      <c r="C8" s="4" t="n">
        <f aca="false">COUNTIF($B$5:$B$14,B8)</f>
        <v>2</v>
      </c>
      <c r="D8" s="6" t="str">
        <f aca="false">IF(C8&gt;1,"Yes","No")</f>
        <v>Yes</v>
      </c>
    </row>
    <row r="9" customFormat="false" ht="15" hidden="false" customHeight="false" outlineLevel="0" collapsed="false">
      <c r="A9" s="4" t="n">
        <v>5</v>
      </c>
      <c r="B9" s="4" t="s">
        <v>8</v>
      </c>
      <c r="C9" s="4" t="n">
        <f aca="false">COUNTIF($B$5:$B$14,B9)</f>
        <v>2</v>
      </c>
      <c r="D9" s="6" t="str">
        <f aca="false">IF(C9&gt;1,"Yes","No")</f>
        <v>Yes</v>
      </c>
    </row>
    <row r="10" customFormat="false" ht="15" hidden="false" customHeight="false" outlineLevel="0" collapsed="false">
      <c r="A10" s="4" t="n">
        <v>6</v>
      </c>
      <c r="B10" s="4" t="s">
        <v>10</v>
      </c>
      <c r="C10" s="4" t="n">
        <f aca="false">COUNTIF($B$5:$B$14,B10)</f>
        <v>1</v>
      </c>
      <c r="D10" s="5" t="str">
        <f aca="false">IF(C10&gt;1,"Yes","No")</f>
        <v>No</v>
      </c>
    </row>
    <row r="11" customFormat="false" ht="15" hidden="false" customHeight="false" outlineLevel="0" collapsed="false">
      <c r="A11" s="4" t="n">
        <v>7</v>
      </c>
      <c r="B11" s="4" t="s">
        <v>11</v>
      </c>
      <c r="C11" s="4" t="n">
        <f aca="false">COUNTIF($B$5:$B$14,B11)</f>
        <v>1</v>
      </c>
      <c r="D11" s="5" t="str">
        <f aca="false">IF(C11&gt;1,"Yes","No")</f>
        <v>No</v>
      </c>
    </row>
    <row r="12" customFormat="false" ht="15" hidden="false" customHeight="false" outlineLevel="0" collapsed="false">
      <c r="A12" s="4" t="n">
        <v>8</v>
      </c>
      <c r="B12" s="4" t="s">
        <v>9</v>
      </c>
      <c r="C12" s="4" t="n">
        <f aca="false">COUNTIF($B$5:$B$14,B12)</f>
        <v>2</v>
      </c>
      <c r="D12" s="6" t="str">
        <f aca="false">IF(C12&gt;1,"Yes","No")</f>
        <v>Yes</v>
      </c>
    </row>
    <row r="13" customFormat="false" ht="15" hidden="false" customHeight="false" outlineLevel="0" collapsed="false">
      <c r="A13" s="4" t="n">
        <v>9</v>
      </c>
      <c r="B13" s="4" t="s">
        <v>12</v>
      </c>
      <c r="C13" s="4" t="n">
        <f aca="false">COUNTIF($B$5:$B$14,B13)</f>
        <v>1</v>
      </c>
      <c r="D13" s="5" t="str">
        <f aca="false">IF(C13&gt;1,"Yes","No")</f>
        <v>No</v>
      </c>
    </row>
    <row r="14" customFormat="false" ht="15" hidden="false" customHeight="false" outlineLevel="0" collapsed="false">
      <c r="A14" s="4" t="n">
        <v>10</v>
      </c>
      <c r="B14" s="4" t="s">
        <v>13</v>
      </c>
      <c r="C14" s="4" t="n">
        <f aca="false">COUNTIF($B$5:$B$14,B14)</f>
        <v>1</v>
      </c>
      <c r="D14" s="5" t="str">
        <f aca="false">IF(C14&gt;1,"Yes","No")</f>
        <v>No</v>
      </c>
    </row>
    <row r="16" customFormat="false" ht="15" hidden="false" customHeight="false" outlineLevel="0" collapsed="false">
      <c r="A16" s="2" t="s">
        <v>14</v>
      </c>
      <c r="B16" s="2"/>
      <c r="C16" s="2"/>
      <c r="D16" s="2"/>
    </row>
    <row r="17" customFormat="false" ht="15" hidden="false" customHeight="false" outlineLevel="0" collapsed="false">
      <c r="A17" s="3" t="s">
        <v>2</v>
      </c>
      <c r="B17" s="3" t="s">
        <v>15</v>
      </c>
    </row>
    <row r="18" customFormat="false" ht="15" hidden="false" customHeight="false" outlineLevel="0" collapsed="false">
      <c r="A18" s="4" t="n">
        <v>1</v>
      </c>
      <c r="B18" s="4" t="s">
        <v>6</v>
      </c>
    </row>
    <row r="19" customFormat="false" ht="15" hidden="false" customHeight="false" outlineLevel="0" collapsed="false">
      <c r="A19" s="4" t="n">
        <v>2</v>
      </c>
      <c r="B19" s="4" t="s">
        <v>7</v>
      </c>
    </row>
    <row r="20" customFormat="false" ht="15" hidden="false" customHeight="false" outlineLevel="0" collapsed="false">
      <c r="A20" s="4" t="n">
        <v>3</v>
      </c>
      <c r="B20" s="4" t="s">
        <v>8</v>
      </c>
    </row>
    <row r="21" customFormat="false" ht="15" hidden="false" customHeight="false" outlineLevel="0" collapsed="false">
      <c r="A21" s="4" t="n">
        <v>4</v>
      </c>
      <c r="B21" s="4" t="s">
        <v>9</v>
      </c>
    </row>
    <row r="22" customFormat="false" ht="15" hidden="false" customHeight="false" outlineLevel="0" collapsed="false">
      <c r="A22" s="4" t="n">
        <v>5</v>
      </c>
      <c r="B22" s="4" t="s">
        <v>10</v>
      </c>
    </row>
    <row r="23" customFormat="false" ht="15" hidden="false" customHeight="false" outlineLevel="0" collapsed="false">
      <c r="A23" s="4" t="n">
        <v>6</v>
      </c>
      <c r="B23" s="4" t="s">
        <v>11</v>
      </c>
    </row>
    <row r="24" customFormat="false" ht="15" hidden="false" customHeight="false" outlineLevel="0" collapsed="false">
      <c r="A24" s="4" t="n">
        <v>7</v>
      </c>
      <c r="B24" s="4" t="s">
        <v>12</v>
      </c>
    </row>
    <row r="25" customFormat="false" ht="15" hidden="false" customHeight="false" outlineLevel="0" collapsed="false">
      <c r="A25" s="4" t="n">
        <v>8</v>
      </c>
      <c r="B25" s="4" t="s">
        <v>13</v>
      </c>
    </row>
    <row r="27" customFormat="false" ht="15" hidden="false" customHeight="false" outlineLevel="0" collapsed="false">
      <c r="A27" s="2" t="s">
        <v>16</v>
      </c>
      <c r="B27" s="2"/>
      <c r="C27" s="2"/>
      <c r="D27" s="2"/>
    </row>
    <row r="28" customFormat="false" ht="15" hidden="false" customHeight="false" outlineLevel="0" collapsed="false">
      <c r="A28" s="7" t="s">
        <v>17</v>
      </c>
      <c r="B28" s="8" t="n">
        <f aca="false">COUNTA(B5:B14)</f>
        <v>10</v>
      </c>
    </row>
    <row r="29" customFormat="false" ht="15" hidden="false" customHeight="false" outlineLevel="0" collapsed="false">
      <c r="A29" s="7" t="s">
        <v>18</v>
      </c>
      <c r="B29" s="8" t="str">
        <f aca="false">"P105, P103"</f>
        <v>P105, P103</v>
      </c>
    </row>
    <row r="30" customFormat="false" ht="15" hidden="false" customHeight="false" outlineLevel="0" collapsed="false">
      <c r="A30" s="7" t="s">
        <v>19</v>
      </c>
      <c r="B30" s="8" t="n">
        <f aca="false">COUNTA(B5:B14)-COUNTA(B18:B25)</f>
        <v>2</v>
      </c>
    </row>
    <row r="31" customFormat="false" ht="15" hidden="false" customHeight="false" outlineLevel="0" collapsed="false">
      <c r="A31" s="7" t="s">
        <v>20</v>
      </c>
      <c r="B31" s="8" t="n">
        <f aca="false">COUNTA(B18:B25)</f>
        <v>8</v>
      </c>
    </row>
  </sheetData>
  <mergeCells count="4">
    <mergeCell ref="A1:D1"/>
    <mergeCell ref="A3:D3"/>
    <mergeCell ref="A16:D16"/>
    <mergeCell ref="A27:D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18"/>
    <col collapsed="false" customWidth="true" hidden="false" outlineLevel="0" max="5" min="4" style="0" width="16"/>
    <col collapsed="false" customWidth="true" hidden="false" outlineLevel="0" max="6" min="6" style="0" width="24"/>
  </cols>
  <sheetData>
    <row r="1" customFormat="false" ht="17.35" hidden="false" customHeight="false" outlineLevel="0" collapsed="false">
      <c r="A1" s="1" t="s">
        <v>21</v>
      </c>
      <c r="B1" s="1"/>
      <c r="C1" s="1"/>
      <c r="D1" s="1"/>
      <c r="E1" s="1"/>
      <c r="F1" s="1"/>
    </row>
    <row r="3" customFormat="false" ht="15" hidden="false" customHeight="false" outlineLevel="0" collapsed="false">
      <c r="A3" s="3" t="s">
        <v>2</v>
      </c>
      <c r="B3" s="3" t="s">
        <v>22</v>
      </c>
      <c r="C3" s="3" t="s">
        <v>23</v>
      </c>
      <c r="D3" s="3" t="s">
        <v>24</v>
      </c>
      <c r="E3" s="3" t="s">
        <v>25</v>
      </c>
      <c r="F3" s="3" t="s">
        <v>26</v>
      </c>
    </row>
    <row r="4" customFormat="false" ht="15" hidden="false" customHeight="false" outlineLevel="0" collapsed="false">
      <c r="A4" s="4" t="n">
        <v>1</v>
      </c>
      <c r="B4" s="4" t="n">
        <v>20</v>
      </c>
      <c r="C4" s="4" t="n">
        <v>3</v>
      </c>
      <c r="D4" s="4" t="n">
        <f aca="false">B4-$B$10</f>
        <v>-10</v>
      </c>
      <c r="E4" s="4" t="n">
        <f aca="false">C4-$C$10</f>
        <v>-2.2</v>
      </c>
      <c r="F4" s="4" t="n">
        <f aca="false">D4*E4</f>
        <v>22</v>
      </c>
    </row>
    <row r="5" customFormat="false" ht="15" hidden="false" customHeight="false" outlineLevel="0" collapsed="false">
      <c r="A5" s="4" t="n">
        <v>2</v>
      </c>
      <c r="B5" s="4" t="n">
        <v>25</v>
      </c>
      <c r="C5" s="4" t="n">
        <v>4</v>
      </c>
      <c r="D5" s="4" t="n">
        <f aca="false">B5-$B$10</f>
        <v>-5</v>
      </c>
      <c r="E5" s="4" t="n">
        <f aca="false">C5-$C$10</f>
        <v>-1.2</v>
      </c>
      <c r="F5" s="4" t="n">
        <f aca="false">D5*E5</f>
        <v>6</v>
      </c>
    </row>
    <row r="6" customFormat="false" ht="15" hidden="false" customHeight="false" outlineLevel="0" collapsed="false">
      <c r="A6" s="4" t="n">
        <v>3</v>
      </c>
      <c r="B6" s="4" t="n">
        <v>30</v>
      </c>
      <c r="C6" s="4" t="n">
        <v>5</v>
      </c>
      <c r="D6" s="4" t="n">
        <f aca="false">B6-$B$10</f>
        <v>0</v>
      </c>
      <c r="E6" s="4" t="n">
        <f aca="false">C6-$C$10</f>
        <v>-0.2</v>
      </c>
      <c r="F6" s="4" t="n">
        <f aca="false">D6*E6</f>
        <v>-0</v>
      </c>
    </row>
    <row r="7" customFormat="false" ht="15" hidden="false" customHeight="false" outlineLevel="0" collapsed="false">
      <c r="A7" s="4" t="n">
        <v>4</v>
      </c>
      <c r="B7" s="4" t="n">
        <v>35</v>
      </c>
      <c r="C7" s="4" t="n">
        <v>6</v>
      </c>
      <c r="D7" s="4" t="n">
        <f aca="false">B7-$B$10</f>
        <v>5</v>
      </c>
      <c r="E7" s="4" t="n">
        <f aca="false">C7-$C$10</f>
        <v>0.8</v>
      </c>
      <c r="F7" s="4" t="n">
        <f aca="false">D7*E7</f>
        <v>4</v>
      </c>
    </row>
    <row r="8" customFormat="false" ht="15" hidden="false" customHeight="false" outlineLevel="0" collapsed="false">
      <c r="A8" s="4" t="n">
        <v>5</v>
      </c>
      <c r="B8" s="4" t="n">
        <v>40</v>
      </c>
      <c r="C8" s="4" t="n">
        <v>8</v>
      </c>
      <c r="D8" s="4" t="n">
        <f aca="false">B8-$B$10</f>
        <v>10</v>
      </c>
      <c r="E8" s="4" t="n">
        <f aca="false">C8-$C$10</f>
        <v>2.8</v>
      </c>
      <c r="F8" s="4" t="n">
        <f aca="false">D8*E8</f>
        <v>28</v>
      </c>
    </row>
    <row r="9" customFormat="false" ht="15" hidden="false" customHeight="false" outlineLevel="0" collapsed="false">
      <c r="B9" s="8" t="s">
        <v>27</v>
      </c>
      <c r="F9" s="8" t="n">
        <f aca="false">SUM(F4:F8)</f>
        <v>60</v>
      </c>
    </row>
    <row r="10" customFormat="false" ht="15" hidden="false" customHeight="false" outlineLevel="0" collapsed="false">
      <c r="A10" s="8" t="s">
        <v>28</v>
      </c>
      <c r="B10" s="8" t="n">
        <f aca="false">AVERAGE(B4:B8)</f>
        <v>30</v>
      </c>
      <c r="C10" s="8" t="n">
        <f aca="false">AVERAGE(C4:C8)</f>
        <v>5.2</v>
      </c>
    </row>
    <row r="12" customFormat="false" ht="15" hidden="false" customHeight="false" outlineLevel="0" collapsed="false">
      <c r="A12" s="8" t="s">
        <v>29</v>
      </c>
    </row>
    <row r="13" customFormat="false" ht="15" hidden="false" customHeight="false" outlineLevel="0" collapsed="false">
      <c r="A13" s="7" t="s">
        <v>30</v>
      </c>
      <c r="F13" s="8" t="n">
        <f aca="false">F9/COUNT(B4:B8)</f>
        <v>12</v>
      </c>
    </row>
    <row r="14" customFormat="false" ht="15" hidden="false" customHeight="false" outlineLevel="0" collapsed="false">
      <c r="A14" s="7" t="s">
        <v>31</v>
      </c>
      <c r="F14" s="8" t="n">
        <f aca="false">F9/(COUNT(B4:B8)-1)</f>
        <v>15</v>
      </c>
    </row>
    <row r="16" customFormat="false" ht="15" hidden="false" customHeight="false" outlineLevel="0" collapsed="false">
      <c r="A16" s="8" t="s">
        <v>32</v>
      </c>
    </row>
    <row r="17" customFormat="false" ht="15" hidden="false" customHeight="true" outlineLevel="0" collapsed="false">
      <c r="A17" s="9" t="s">
        <v>33</v>
      </c>
      <c r="B17" s="9"/>
      <c r="C17" s="9"/>
      <c r="D17" s="9"/>
      <c r="E17" s="9"/>
      <c r="F17" s="9"/>
    </row>
    <row r="18" customFormat="false" ht="15" hidden="false" customHeight="false" outlineLevel="0" collapsed="false">
      <c r="A18" s="9"/>
      <c r="B18" s="9"/>
      <c r="C18" s="9"/>
      <c r="D18" s="9"/>
      <c r="E18" s="9"/>
      <c r="F18" s="9"/>
    </row>
    <row r="19" customFormat="false" ht="15" hidden="false" customHeight="false" outlineLevel="0" collapsed="false">
      <c r="A19" s="9"/>
      <c r="B19" s="9"/>
      <c r="C19" s="9"/>
      <c r="D19" s="9"/>
      <c r="E19" s="9"/>
      <c r="F19" s="9"/>
    </row>
    <row r="20" customFormat="false" ht="15" hidden="false" customHeight="false" outlineLevel="0" collapsed="false">
      <c r="A20" s="9"/>
      <c r="B20" s="9"/>
      <c r="C20" s="9"/>
      <c r="D20" s="9"/>
      <c r="E20" s="9"/>
      <c r="F20" s="9"/>
    </row>
    <row r="21" customFormat="false" ht="15" hidden="false" customHeight="false" outlineLevel="0" collapsed="false">
      <c r="A21" s="9"/>
      <c r="B21" s="9"/>
      <c r="C21" s="9"/>
      <c r="D21" s="9"/>
      <c r="E21" s="9"/>
      <c r="F21" s="9"/>
    </row>
  </sheetData>
  <mergeCells count="2">
    <mergeCell ref="A1:F1"/>
    <mergeCell ref="A17: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0"/>
    <col collapsed="false" customWidth="true" hidden="false" outlineLevel="0" max="3" min="3" style="0" width="14"/>
    <col collapsed="false" customWidth="true" hidden="false" outlineLevel="0" max="4" min="4" style="0" width="16"/>
    <col collapsed="false" customWidth="true" hidden="false" outlineLevel="0" max="5" min="5" style="0" width="22"/>
  </cols>
  <sheetData>
    <row r="1" customFormat="false" ht="17.35" hidden="false" customHeight="false" outlineLevel="0" collapsed="false">
      <c r="A1" s="1" t="s">
        <v>34</v>
      </c>
      <c r="B1" s="1"/>
      <c r="C1" s="1"/>
      <c r="D1" s="1"/>
      <c r="E1" s="1"/>
    </row>
    <row r="3" customFormat="false" ht="15" hidden="false" customHeight="false" outlineLevel="0" collapsed="false">
      <c r="A3" s="3" t="s">
        <v>2</v>
      </c>
      <c r="B3" s="3" t="s">
        <v>35</v>
      </c>
      <c r="C3" s="3" t="s">
        <v>36</v>
      </c>
      <c r="D3" s="3" t="s">
        <v>37</v>
      </c>
      <c r="E3" s="3" t="s">
        <v>38</v>
      </c>
    </row>
    <row r="4" customFormat="false" ht="15" hidden="false" customHeight="false" outlineLevel="0" collapsed="false">
      <c r="A4" s="4" t="n">
        <v>1</v>
      </c>
      <c r="B4" s="4" t="n">
        <v>8</v>
      </c>
      <c r="C4" s="4" t="n">
        <f aca="false">B4-$B$16</f>
        <v>-5.54545454545455</v>
      </c>
      <c r="D4" s="4" t="n">
        <f aca="false">C4^2</f>
        <v>30.7520661157025</v>
      </c>
      <c r="E4" s="4" t="n">
        <f aca="false">C4/$B$17</f>
        <v>-0.783727706873353</v>
      </c>
    </row>
    <row r="5" customFormat="false" ht="15" hidden="false" customHeight="false" outlineLevel="0" collapsed="false">
      <c r="A5" s="4" t="n">
        <v>2</v>
      </c>
      <c r="B5" s="4" t="n">
        <v>9</v>
      </c>
      <c r="C5" s="4" t="n">
        <f aca="false">B5-$B$16</f>
        <v>-4.54545454545455</v>
      </c>
      <c r="D5" s="4" t="n">
        <f aca="false">C5^2</f>
        <v>20.6611570247934</v>
      </c>
      <c r="E5" s="4" t="n">
        <f aca="false">C5/$B$17</f>
        <v>-0.642399759732256</v>
      </c>
    </row>
    <row r="6" customFormat="false" ht="15" hidden="false" customHeight="false" outlineLevel="0" collapsed="false">
      <c r="A6" s="4" t="n">
        <v>3</v>
      </c>
      <c r="B6" s="4" t="n">
        <v>10</v>
      </c>
      <c r="C6" s="4" t="n">
        <f aca="false">B6-$B$16</f>
        <v>-3.54545454545455</v>
      </c>
      <c r="D6" s="4" t="n">
        <f aca="false">C6^2</f>
        <v>12.5702479338843</v>
      </c>
      <c r="E6" s="4" t="n">
        <f aca="false">C6/$B$17</f>
        <v>-0.50107181259116</v>
      </c>
    </row>
    <row r="7" customFormat="false" ht="15" hidden="false" customHeight="false" outlineLevel="0" collapsed="false">
      <c r="A7" s="4" t="n">
        <v>4</v>
      </c>
      <c r="B7" s="4" t="n">
        <v>10</v>
      </c>
      <c r="C7" s="4" t="n">
        <f aca="false">B7-$B$16</f>
        <v>-3.54545454545455</v>
      </c>
      <c r="D7" s="4" t="n">
        <f aca="false">C7^2</f>
        <v>12.5702479338843</v>
      </c>
      <c r="E7" s="4" t="n">
        <f aca="false">C7/$B$17</f>
        <v>-0.50107181259116</v>
      </c>
    </row>
    <row r="8" customFormat="false" ht="15" hidden="false" customHeight="false" outlineLevel="0" collapsed="false">
      <c r="A8" s="4" t="n">
        <v>5</v>
      </c>
      <c r="B8" s="4" t="n">
        <v>11</v>
      </c>
      <c r="C8" s="4" t="n">
        <f aca="false">B8-$B$16</f>
        <v>-2.54545454545455</v>
      </c>
      <c r="D8" s="4" t="n">
        <f aca="false">C8^2</f>
        <v>6.47933884297521</v>
      </c>
      <c r="E8" s="4" t="n">
        <f aca="false">C8/$B$17</f>
        <v>-0.359743865450064</v>
      </c>
    </row>
    <row r="9" customFormat="false" ht="15" hidden="false" customHeight="false" outlineLevel="0" collapsed="false">
      <c r="A9" s="4" t="n">
        <v>6</v>
      </c>
      <c r="B9" s="4" t="n">
        <v>12</v>
      </c>
      <c r="C9" s="4" t="n">
        <f aca="false">B9-$B$16</f>
        <v>-1.54545454545455</v>
      </c>
      <c r="D9" s="4" t="n">
        <f aca="false">C9^2</f>
        <v>2.38842975206611</v>
      </c>
      <c r="E9" s="4" t="n">
        <f aca="false">C9/$B$17</f>
        <v>-0.218415918308967</v>
      </c>
    </row>
    <row r="10" customFormat="false" ht="15" hidden="false" customHeight="false" outlineLevel="0" collapsed="false">
      <c r="A10" s="4" t="n">
        <v>7</v>
      </c>
      <c r="B10" s="4" t="n">
        <v>12</v>
      </c>
      <c r="C10" s="4" t="n">
        <f aca="false">B10-$B$16</f>
        <v>-1.54545454545455</v>
      </c>
      <c r="D10" s="4" t="n">
        <f aca="false">C10^2</f>
        <v>2.38842975206611</v>
      </c>
      <c r="E10" s="4" t="n">
        <f aca="false">C10/$B$17</f>
        <v>-0.218415918308967</v>
      </c>
    </row>
    <row r="11" customFormat="false" ht="15" hidden="false" customHeight="false" outlineLevel="0" collapsed="false">
      <c r="A11" s="4" t="n">
        <v>8</v>
      </c>
      <c r="B11" s="4" t="n">
        <v>13</v>
      </c>
      <c r="C11" s="4" t="n">
        <f aca="false">B11-$B$16</f>
        <v>-0.545454545454545</v>
      </c>
      <c r="D11" s="4" t="n">
        <f aca="false">C11^2</f>
        <v>0.297520661157024</v>
      </c>
      <c r="E11" s="4" t="n">
        <f aca="false">C11/$B$17</f>
        <v>-0.0770879711678707</v>
      </c>
    </row>
    <row r="12" customFormat="false" ht="15" hidden="false" customHeight="false" outlineLevel="0" collapsed="false">
      <c r="A12" s="4" t="n">
        <v>9</v>
      </c>
      <c r="B12" s="4" t="n">
        <v>14</v>
      </c>
      <c r="C12" s="4" t="n">
        <f aca="false">B12-$B$16</f>
        <v>0.454545454545455</v>
      </c>
      <c r="D12" s="4" t="n">
        <f aca="false">C12^2</f>
        <v>0.206611570247934</v>
      </c>
      <c r="E12" s="4" t="n">
        <f aca="false">C12/$B$17</f>
        <v>0.0642399759732257</v>
      </c>
    </row>
    <row r="13" customFormat="false" ht="15" hidden="false" customHeight="false" outlineLevel="0" collapsed="false">
      <c r="A13" s="4" t="n">
        <v>10</v>
      </c>
      <c r="B13" s="4" t="n">
        <v>15</v>
      </c>
      <c r="C13" s="4" t="n">
        <f aca="false">B13-$B$16</f>
        <v>1.45454545454546</v>
      </c>
      <c r="D13" s="4" t="n">
        <f aca="false">C13^2</f>
        <v>2.11570247933884</v>
      </c>
      <c r="E13" s="4" t="n">
        <f aca="false">C13/$B$17</f>
        <v>0.205567923114322</v>
      </c>
    </row>
    <row r="14" customFormat="false" ht="15" hidden="false" customHeight="false" outlineLevel="0" collapsed="false">
      <c r="A14" s="10" t="n">
        <v>11</v>
      </c>
      <c r="B14" s="10" t="n">
        <v>35</v>
      </c>
      <c r="C14" s="10" t="n">
        <f aca="false">B14-$B$16</f>
        <v>21.4545454545455</v>
      </c>
      <c r="D14" s="10" t="n">
        <f aca="false">C14^2</f>
        <v>460.297520661157</v>
      </c>
      <c r="E14" s="10" t="n">
        <f aca="false">C14/$B$17</f>
        <v>3.03212686593625</v>
      </c>
    </row>
    <row r="15" customFormat="false" ht="15" hidden="false" customHeight="false" outlineLevel="0" collapsed="false">
      <c r="B15" s="8" t="s">
        <v>39</v>
      </c>
      <c r="D15" s="8" t="n">
        <f aca="false">SUM(D4:D14)</f>
        <v>550.727272727273</v>
      </c>
    </row>
    <row r="16" customFormat="false" ht="15" hidden="false" customHeight="false" outlineLevel="0" collapsed="false">
      <c r="A16" s="8" t="s">
        <v>40</v>
      </c>
      <c r="B16" s="8" t="n">
        <f aca="false">AVERAGE(B4:B14)</f>
        <v>13.5454545454545</v>
      </c>
    </row>
    <row r="17" customFormat="false" ht="15" hidden="false" customHeight="false" outlineLevel="0" collapsed="false">
      <c r="A17" s="8" t="s">
        <v>41</v>
      </c>
      <c r="B17" s="8" t="n">
        <f aca="false">STDEVP(B4:B14)</f>
        <v>7.07574135356002</v>
      </c>
    </row>
    <row r="19" customFormat="false" ht="15" hidden="false" customHeight="false" outlineLevel="0" collapsed="false">
      <c r="A19" s="2" t="s">
        <v>42</v>
      </c>
      <c r="B19" s="2"/>
      <c r="C19" s="2"/>
      <c r="D19" s="2"/>
      <c r="E19" s="2"/>
    </row>
    <row r="20" customFormat="false" ht="15" hidden="false" customHeight="false" outlineLevel="0" collapsed="false">
      <c r="A20" s="3" t="s">
        <v>43</v>
      </c>
      <c r="B20" s="3" t="s">
        <v>44</v>
      </c>
      <c r="C20" s="3" t="s">
        <v>45</v>
      </c>
    </row>
    <row r="21" customFormat="false" ht="15" hidden="false" customHeight="false" outlineLevel="0" collapsed="false">
      <c r="A21" s="4" t="n">
        <v>35</v>
      </c>
      <c r="B21" s="4" t="n">
        <f aca="false">E14</f>
        <v>3.03212686593625</v>
      </c>
      <c r="C21" s="10" t="str">
        <f aca="false">IF(ABS(E14)&gt;3,"Yes - Outlier","No")</f>
        <v>Yes - Outlier</v>
      </c>
    </row>
    <row r="23" customFormat="false" ht="15" hidden="false" customHeight="false" outlineLevel="0" collapsed="false">
      <c r="A23" s="11" t="s">
        <v>46</v>
      </c>
      <c r="B23" s="11"/>
      <c r="C23" s="11"/>
      <c r="D23" s="11"/>
      <c r="E23" s="11"/>
    </row>
  </sheetData>
  <mergeCells count="3">
    <mergeCell ref="A1:E1"/>
    <mergeCell ref="A19:E19"/>
    <mergeCell ref="A23:E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4"/>
    <col collapsed="false" customWidth="true" hidden="false" outlineLevel="0" max="5" min="4" style="0" width="22"/>
    <col collapsed="false" customWidth="true" hidden="false" outlineLevel="0" max="6" min="6" style="0" width="18"/>
  </cols>
  <sheetData>
    <row r="1" customFormat="false" ht="17.35" hidden="false" customHeight="false" outlineLevel="0" collapsed="false">
      <c r="A1" s="1" t="s">
        <v>47</v>
      </c>
      <c r="B1" s="1"/>
      <c r="C1" s="1"/>
      <c r="D1" s="1"/>
      <c r="E1" s="1"/>
    </row>
    <row r="3" customFormat="false" ht="15" hidden="false" customHeight="false" outlineLevel="0" collapsed="false">
      <c r="A3" s="8" t="s">
        <v>48</v>
      </c>
    </row>
    <row r="4" customFormat="false" ht="15" hidden="false" customHeight="false" outlineLevel="0" collapsed="false">
      <c r="A4" s="7" t="s">
        <v>49</v>
      </c>
      <c r="B4" s="8" t="n">
        <v>75</v>
      </c>
    </row>
    <row r="5" customFormat="false" ht="15" hidden="false" customHeight="false" outlineLevel="0" collapsed="false">
      <c r="A5" s="7" t="s">
        <v>50</v>
      </c>
      <c r="B5" s="8" t="n">
        <v>145</v>
      </c>
    </row>
    <row r="6" customFormat="false" ht="15" hidden="false" customHeight="false" outlineLevel="0" collapsed="false">
      <c r="A6" s="7" t="s">
        <v>51</v>
      </c>
      <c r="B6" s="8" t="n">
        <f aca="false">B5-B4</f>
        <v>70</v>
      </c>
    </row>
    <row r="7" customFormat="false" ht="15" hidden="false" customHeight="false" outlineLevel="0" collapsed="false">
      <c r="A7" s="7" t="s">
        <v>52</v>
      </c>
      <c r="B7" s="8" t="n">
        <v>3</v>
      </c>
    </row>
    <row r="8" customFormat="false" ht="15" hidden="false" customHeight="false" outlineLevel="0" collapsed="false">
      <c r="A8" s="7" t="s">
        <v>53</v>
      </c>
      <c r="B8" s="8" t="n">
        <f aca="false">B6/B7</f>
        <v>23.3333333333333</v>
      </c>
    </row>
    <row r="10" customFormat="false" ht="15" hidden="false" customHeight="false" outlineLevel="0" collapsed="false">
      <c r="A10" s="8" t="s">
        <v>54</v>
      </c>
    </row>
    <row r="11" customFormat="false" ht="15" hidden="false" customHeight="false" outlineLevel="0" collapsed="false">
      <c r="A11" s="3" t="s">
        <v>55</v>
      </c>
      <c r="B11" s="3" t="s">
        <v>56</v>
      </c>
      <c r="C11" s="3" t="s">
        <v>57</v>
      </c>
    </row>
    <row r="12" customFormat="false" ht="15" hidden="false" customHeight="false" outlineLevel="0" collapsed="false">
      <c r="A12" s="4" t="s">
        <v>58</v>
      </c>
      <c r="B12" s="4" t="n">
        <f aca="false">$B$4</f>
        <v>75</v>
      </c>
      <c r="C12" s="4" t="n">
        <f aca="false">$B$4+$B$8</f>
        <v>98.3333333333333</v>
      </c>
    </row>
    <row r="13" customFormat="false" ht="15" hidden="false" customHeight="false" outlineLevel="0" collapsed="false">
      <c r="A13" s="4" t="s">
        <v>59</v>
      </c>
      <c r="B13" s="4" t="n">
        <f aca="false">C12</f>
        <v>98.3333333333333</v>
      </c>
      <c r="C13" s="4" t="n">
        <f aca="false">C12+$B$8</f>
        <v>121.666666666667</v>
      </c>
    </row>
    <row r="14" customFormat="false" ht="15" hidden="false" customHeight="false" outlineLevel="0" collapsed="false">
      <c r="A14" s="4" t="s">
        <v>60</v>
      </c>
      <c r="B14" s="4" t="n">
        <f aca="false">C13</f>
        <v>121.666666666667</v>
      </c>
      <c r="C14" s="4" t="n">
        <f aca="false">C13+$B$8</f>
        <v>145</v>
      </c>
    </row>
    <row r="16" customFormat="false" ht="15" hidden="false" customHeight="false" outlineLevel="0" collapsed="false">
      <c r="A16" s="2" t="s">
        <v>61</v>
      </c>
      <c r="B16" s="2"/>
      <c r="C16" s="2"/>
      <c r="D16" s="2"/>
      <c r="E16" s="2"/>
    </row>
    <row r="17" customFormat="false" ht="15" hidden="false" customHeight="false" outlineLevel="0" collapsed="false">
      <c r="A17" s="3" t="s">
        <v>2</v>
      </c>
      <c r="B17" s="3" t="s">
        <v>62</v>
      </c>
      <c r="C17" s="3" t="s">
        <v>63</v>
      </c>
      <c r="D17" s="3" t="s">
        <v>64</v>
      </c>
      <c r="E17" s="3" t="s">
        <v>65</v>
      </c>
      <c r="F17" s="3" t="s">
        <v>66</v>
      </c>
    </row>
    <row r="18" customFormat="false" ht="15" hidden="false" customHeight="false" outlineLevel="0" collapsed="false">
      <c r="A18" s="4" t="n">
        <v>1</v>
      </c>
      <c r="B18" s="4" t="n">
        <v>75</v>
      </c>
      <c r="C18" s="4" t="str">
        <f aca="false">IF(B18&lt;=$C$12,"Bin 1",IF(B18&lt;=$C$13,"Bin 2","Bin 3"))</f>
        <v>Bin 1</v>
      </c>
      <c r="D18" s="4" t="n">
        <f aca="false">ABS(B18-IF(C18="Bin 1",$B$12,IF(C18="Bin 2",$B$13,$B$14)))</f>
        <v>0</v>
      </c>
      <c r="E18" s="4" t="n">
        <f aca="false">ABS(B18-IF(C18="Bin 1",$C$12,IF(C18="Bin 2",$C$13,$C$14)))</f>
        <v>23.3333333333333</v>
      </c>
      <c r="F18" s="4" t="n">
        <f aca="false">IF(D18&lt;=E18,IF(C18="Bin 1",$B$12,IF(C18="Bin 2",$B$13,$B$14)),IF(C18="Bin 1",$C$12,IF(C18="Bin 2",$C$13,$C$14)))</f>
        <v>75</v>
      </c>
    </row>
    <row r="19" customFormat="false" ht="15" hidden="false" customHeight="false" outlineLevel="0" collapsed="false">
      <c r="A19" s="4" t="n">
        <v>2</v>
      </c>
      <c r="B19" s="4" t="n">
        <v>82</v>
      </c>
      <c r="C19" s="4" t="str">
        <f aca="false">IF(B19&lt;=$C$12,"Bin 1",IF(B19&lt;=$C$13,"Bin 2","Bin 3"))</f>
        <v>Bin 1</v>
      </c>
      <c r="D19" s="4" t="n">
        <f aca="false">ABS(B19-IF(C19="Bin 1",$B$12,IF(C19="Bin 2",$B$13,$B$14)))</f>
        <v>7</v>
      </c>
      <c r="E19" s="4" t="n">
        <f aca="false">ABS(B19-IF(C19="Bin 1",$C$12,IF(C19="Bin 2",$C$13,$C$14)))</f>
        <v>16.3333333333333</v>
      </c>
      <c r="F19" s="4" t="n">
        <f aca="false">IF(D19&lt;=E19,IF(C19="Bin 1",$B$12,IF(C19="Bin 2",$B$13,$B$14)),IF(C19="Bin 1",$C$12,IF(C19="Bin 2",$C$13,$C$14)))</f>
        <v>75</v>
      </c>
    </row>
    <row r="20" customFormat="false" ht="15" hidden="false" customHeight="false" outlineLevel="0" collapsed="false">
      <c r="A20" s="4" t="n">
        <v>3</v>
      </c>
      <c r="B20" s="4" t="n">
        <v>88</v>
      </c>
      <c r="C20" s="4" t="str">
        <f aca="false">IF(B20&lt;=$C$12,"Bin 1",IF(B20&lt;=$C$13,"Bin 2","Bin 3"))</f>
        <v>Bin 1</v>
      </c>
      <c r="D20" s="4" t="n">
        <f aca="false">ABS(B20-IF(C20="Bin 1",$B$12,IF(C20="Bin 2",$B$13,$B$14)))</f>
        <v>13</v>
      </c>
      <c r="E20" s="4" t="n">
        <f aca="false">ABS(B20-IF(C20="Bin 1",$C$12,IF(C20="Bin 2",$C$13,$C$14)))</f>
        <v>10.3333333333333</v>
      </c>
      <c r="F20" s="4" t="n">
        <f aca="false">IF(D20&lt;=E20,IF(C20="Bin 1",$B$12,IF(C20="Bin 2",$B$13,$B$14)),IF(C20="Bin 1",$C$12,IF(C20="Bin 2",$C$13,$C$14)))</f>
        <v>98.3333333333333</v>
      </c>
    </row>
    <row r="21" customFormat="false" ht="15" hidden="false" customHeight="false" outlineLevel="0" collapsed="false">
      <c r="A21" s="4" t="n">
        <v>4</v>
      </c>
      <c r="B21" s="4" t="n">
        <v>92</v>
      </c>
      <c r="C21" s="4" t="str">
        <f aca="false">IF(B21&lt;=$C$12,"Bin 1",IF(B21&lt;=$C$13,"Bin 2","Bin 3"))</f>
        <v>Bin 1</v>
      </c>
      <c r="D21" s="4" t="n">
        <f aca="false">ABS(B21-IF(C21="Bin 1",$B$12,IF(C21="Bin 2",$B$13,$B$14)))</f>
        <v>17</v>
      </c>
      <c r="E21" s="4" t="n">
        <f aca="false">ABS(B21-IF(C21="Bin 1",$C$12,IF(C21="Bin 2",$C$13,$C$14)))</f>
        <v>6.33333333333333</v>
      </c>
      <c r="F21" s="4" t="n">
        <f aca="false">IF(D21&lt;=E21,IF(C21="Bin 1",$B$12,IF(C21="Bin 2",$B$13,$B$14)),IF(C21="Bin 1",$C$12,IF(C21="Bin 2",$C$13,$C$14)))</f>
        <v>98.3333333333333</v>
      </c>
    </row>
    <row r="22" customFormat="false" ht="15" hidden="false" customHeight="false" outlineLevel="0" collapsed="false">
      <c r="A22" s="4" t="n">
        <v>5</v>
      </c>
      <c r="B22" s="4" t="n">
        <v>95</v>
      </c>
      <c r="C22" s="4" t="str">
        <f aca="false">IF(B22&lt;=$C$12,"Bin 1",IF(B22&lt;=$C$13,"Bin 2","Bin 3"))</f>
        <v>Bin 1</v>
      </c>
      <c r="D22" s="4" t="n">
        <f aca="false">ABS(B22-IF(C22="Bin 1",$B$12,IF(C22="Bin 2",$B$13,$B$14)))</f>
        <v>20</v>
      </c>
      <c r="E22" s="4" t="n">
        <f aca="false">ABS(B22-IF(C22="Bin 1",$C$12,IF(C22="Bin 2",$C$13,$C$14)))</f>
        <v>3.33333333333333</v>
      </c>
      <c r="F22" s="4" t="n">
        <f aca="false">IF(D22&lt;=E22,IF(C22="Bin 1",$B$12,IF(C22="Bin 2",$B$13,$B$14)),IF(C22="Bin 1",$C$12,IF(C22="Bin 2",$C$13,$C$14)))</f>
        <v>98.3333333333333</v>
      </c>
    </row>
    <row r="23" customFormat="false" ht="15" hidden="false" customHeight="false" outlineLevel="0" collapsed="false">
      <c r="A23" s="4" t="n">
        <v>6</v>
      </c>
      <c r="B23" s="4" t="n">
        <v>99</v>
      </c>
      <c r="C23" s="4" t="str">
        <f aca="false">IF(B23&lt;=$C$12,"Bin 1",IF(B23&lt;=$C$13,"Bin 2","Bin 3"))</f>
        <v>Bin 2</v>
      </c>
      <c r="D23" s="4" t="n">
        <f aca="false">ABS(B23-IF(C23="Bin 1",$B$12,IF(C23="Bin 2",$B$13,$B$14)))</f>
        <v>0.666666666666671</v>
      </c>
      <c r="E23" s="4" t="n">
        <f aca="false">ABS(B23-IF(C23="Bin 1",$C$12,IF(C23="Bin 2",$C$13,$C$14)))</f>
        <v>22.6666666666667</v>
      </c>
      <c r="F23" s="4" t="n">
        <f aca="false">IF(D23&lt;=E23,IF(C23="Bin 1",$B$12,IF(C23="Bin 2",$B$13,$B$14)),IF(C23="Bin 1",$C$12,IF(C23="Bin 2",$C$13,$C$14)))</f>
        <v>98.3333333333333</v>
      </c>
    </row>
    <row r="24" customFormat="false" ht="15" hidden="false" customHeight="false" outlineLevel="0" collapsed="false">
      <c r="A24" s="4" t="n">
        <v>7</v>
      </c>
      <c r="B24" s="4" t="n">
        <v>104</v>
      </c>
      <c r="C24" s="4" t="str">
        <f aca="false">IF(B24&lt;=$C$12,"Bin 1",IF(B24&lt;=$C$13,"Bin 2","Bin 3"))</f>
        <v>Bin 2</v>
      </c>
      <c r="D24" s="4" t="n">
        <f aca="false">ABS(B24-IF(C24="Bin 1",$B$12,IF(C24="Bin 2",$B$13,$B$14)))</f>
        <v>5.66666666666667</v>
      </c>
      <c r="E24" s="4" t="n">
        <f aca="false">ABS(B24-IF(C24="Bin 1",$C$12,IF(C24="Bin 2",$C$13,$C$14)))</f>
        <v>17.6666666666667</v>
      </c>
      <c r="F24" s="4" t="n">
        <f aca="false">IF(D24&lt;=E24,IF(C24="Bin 1",$B$12,IF(C24="Bin 2",$B$13,$B$14)),IF(C24="Bin 1",$C$12,IF(C24="Bin 2",$C$13,$C$14)))</f>
        <v>98.3333333333333</v>
      </c>
    </row>
    <row r="25" customFormat="false" ht="15" hidden="false" customHeight="false" outlineLevel="0" collapsed="false">
      <c r="A25" s="4" t="n">
        <v>8</v>
      </c>
      <c r="B25" s="4" t="n">
        <v>110</v>
      </c>
      <c r="C25" s="4" t="str">
        <f aca="false">IF(B25&lt;=$C$12,"Bin 1",IF(B25&lt;=$C$13,"Bin 2","Bin 3"))</f>
        <v>Bin 2</v>
      </c>
      <c r="D25" s="4" t="n">
        <f aca="false">ABS(B25-IF(C25="Bin 1",$B$12,IF(C25="Bin 2",$B$13,$B$14)))</f>
        <v>11.6666666666667</v>
      </c>
      <c r="E25" s="4" t="n">
        <f aca="false">ABS(B25-IF(C25="Bin 1",$C$12,IF(C25="Bin 2",$C$13,$C$14)))</f>
        <v>11.6666666666667</v>
      </c>
      <c r="F25" s="4" t="n">
        <f aca="false">IF(D25&lt;=E25,IF(C25="Bin 1",$B$12,IF(C25="Bin 2",$B$13,$B$14)),IF(C25="Bin 1",$C$12,IF(C25="Bin 2",$C$13,$C$14)))</f>
        <v>98.3333333333333</v>
      </c>
    </row>
    <row r="26" customFormat="false" ht="15" hidden="false" customHeight="false" outlineLevel="0" collapsed="false">
      <c r="A26" s="4" t="n">
        <v>9</v>
      </c>
      <c r="B26" s="4" t="n">
        <v>118</v>
      </c>
      <c r="C26" s="4" t="str">
        <f aca="false">IF(B26&lt;=$C$12,"Bin 1",IF(B26&lt;=$C$13,"Bin 2","Bin 3"))</f>
        <v>Bin 2</v>
      </c>
      <c r="D26" s="4" t="n">
        <f aca="false">ABS(B26-IF(C26="Bin 1",$B$12,IF(C26="Bin 2",$B$13,$B$14)))</f>
        <v>19.6666666666667</v>
      </c>
      <c r="E26" s="4" t="n">
        <f aca="false">ABS(B26-IF(C26="Bin 1",$C$12,IF(C26="Bin 2",$C$13,$C$14)))</f>
        <v>3.66666666666666</v>
      </c>
      <c r="F26" s="4" t="n">
        <f aca="false">IF(D26&lt;=E26,IF(C26="Bin 1",$B$12,IF(C26="Bin 2",$B$13,$B$14)),IF(C26="Bin 1",$C$12,IF(C26="Bin 2",$C$13,$C$14)))</f>
        <v>121.666666666667</v>
      </c>
    </row>
    <row r="27" customFormat="false" ht="15" hidden="false" customHeight="false" outlineLevel="0" collapsed="false">
      <c r="A27" s="4" t="n">
        <v>10</v>
      </c>
      <c r="B27" s="4" t="n">
        <v>122</v>
      </c>
      <c r="C27" s="4" t="str">
        <f aca="false">IF(B27&lt;=$C$12,"Bin 1",IF(B27&lt;=$C$13,"Bin 2","Bin 3"))</f>
        <v>Bin 3</v>
      </c>
      <c r="D27" s="4" t="n">
        <f aca="false">ABS(B27-IF(C27="Bin 1",$B$12,IF(C27="Bin 2",$B$13,$B$14)))</f>
        <v>0.333333333333343</v>
      </c>
      <c r="E27" s="4" t="n">
        <f aca="false">ABS(B27-IF(C27="Bin 1",$C$12,IF(C27="Bin 2",$C$13,$C$14)))</f>
        <v>23</v>
      </c>
      <c r="F27" s="4" t="n">
        <f aca="false">IF(D27&lt;=E27,IF(C27="Bin 1",$B$12,IF(C27="Bin 2",$B$13,$B$14)),IF(C27="Bin 1",$C$12,IF(C27="Bin 2",$C$13,$C$14)))</f>
        <v>121.666666666667</v>
      </c>
    </row>
    <row r="28" customFormat="false" ht="15" hidden="false" customHeight="false" outlineLevel="0" collapsed="false">
      <c r="A28" s="4" t="n">
        <v>11</v>
      </c>
      <c r="B28" s="4" t="n">
        <v>130</v>
      </c>
      <c r="C28" s="4" t="str">
        <f aca="false">IF(B28&lt;=$C$12,"Bin 1",IF(B28&lt;=$C$13,"Bin 2","Bin 3"))</f>
        <v>Bin 3</v>
      </c>
      <c r="D28" s="4" t="n">
        <f aca="false">ABS(B28-IF(C28="Bin 1",$B$12,IF(C28="Bin 2",$B$13,$B$14)))</f>
        <v>8.33333333333334</v>
      </c>
      <c r="E28" s="4" t="n">
        <f aca="false">ABS(B28-IF(C28="Bin 1",$C$12,IF(C28="Bin 2",$C$13,$C$14)))</f>
        <v>15</v>
      </c>
      <c r="F28" s="4" t="n">
        <f aca="false">IF(D28&lt;=E28,IF(C28="Bin 1",$B$12,IF(C28="Bin 2",$B$13,$B$14)),IF(C28="Bin 1",$C$12,IF(C28="Bin 2",$C$13,$C$14)))</f>
        <v>121.666666666667</v>
      </c>
    </row>
    <row r="29" customFormat="false" ht="15" hidden="false" customHeight="false" outlineLevel="0" collapsed="false">
      <c r="A29" s="4" t="n">
        <v>12</v>
      </c>
      <c r="B29" s="4" t="n">
        <v>145</v>
      </c>
      <c r="C29" s="4" t="str">
        <f aca="false">IF(B29&lt;=$C$12,"Bin 1",IF(B29&lt;=$C$13,"Bin 2","Bin 3"))</f>
        <v>Bin 3</v>
      </c>
      <c r="D29" s="4" t="n">
        <f aca="false">ABS(B29-IF(C29="Bin 1",$B$12,IF(C29="Bin 2",$B$13,$B$14)))</f>
        <v>23.3333333333333</v>
      </c>
      <c r="E29" s="4" t="n">
        <f aca="false">ABS(B29-IF(C29="Bin 1",$C$12,IF(C29="Bin 2",$C$13,$C$14)))</f>
        <v>0</v>
      </c>
      <c r="F29" s="4" t="n">
        <f aca="false">IF(D29&lt;=E29,IF(C29="Bin 1",$B$12,IF(C29="Bin 2",$B$13,$B$14)),IF(C29="Bin 1",$C$12,IF(C29="Bin 2",$C$13,$C$14)))</f>
        <v>145</v>
      </c>
    </row>
  </sheetData>
  <mergeCells count="2">
    <mergeCell ref="A1:E1"/>
    <mergeCell ref="A16:E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14"/>
    <col collapsed="false" customWidth="true" hidden="false" outlineLevel="0" max="4" min="4" style="0" width="16"/>
    <col collapsed="false" customWidth="true" hidden="false" outlineLevel="0" max="5" min="5" style="0" width="20"/>
  </cols>
  <sheetData>
    <row r="1" customFormat="false" ht="17.35" hidden="false" customHeight="false" outlineLevel="0" collapsed="false">
      <c r="A1" s="1" t="s">
        <v>67</v>
      </c>
      <c r="B1" s="1"/>
      <c r="C1" s="1"/>
      <c r="D1" s="1"/>
      <c r="E1" s="1"/>
    </row>
    <row r="3" customFormat="false" ht="15" hidden="false" customHeight="false" outlineLevel="0" collapsed="false">
      <c r="A3" s="3" t="s">
        <v>2</v>
      </c>
      <c r="B3" s="3" t="s">
        <v>68</v>
      </c>
      <c r="C3" s="3" t="s">
        <v>36</v>
      </c>
      <c r="D3" s="3" t="s">
        <v>37</v>
      </c>
      <c r="E3" s="3" t="s">
        <v>38</v>
      </c>
    </row>
    <row r="4" customFormat="false" ht="15" hidden="false" customHeight="false" outlineLevel="0" collapsed="false">
      <c r="A4" s="4" t="n">
        <v>1</v>
      </c>
      <c r="B4" s="4" t="n">
        <v>12</v>
      </c>
      <c r="C4" s="4" t="n">
        <f aca="false">B4-$B$15</f>
        <v>-12.5</v>
      </c>
      <c r="D4" s="4" t="n">
        <f aca="false">C4^2</f>
        <v>156.25</v>
      </c>
      <c r="E4" s="4" t="n">
        <f aca="false">C4/$B$16</f>
        <v>-1.48504661337466</v>
      </c>
    </row>
    <row r="5" customFormat="false" ht="15" hidden="false" customHeight="false" outlineLevel="0" collapsed="false">
      <c r="A5" s="4" t="n">
        <v>2</v>
      </c>
      <c r="B5" s="4" t="n">
        <v>15</v>
      </c>
      <c r="C5" s="4" t="n">
        <f aca="false">B5-$B$15</f>
        <v>-9.5</v>
      </c>
      <c r="D5" s="4" t="n">
        <f aca="false">C5^2</f>
        <v>90.25</v>
      </c>
      <c r="E5" s="4" t="n">
        <f aca="false">C5/$B$16</f>
        <v>-1.12863542616474</v>
      </c>
    </row>
    <row r="6" customFormat="false" ht="15" hidden="false" customHeight="false" outlineLevel="0" collapsed="false">
      <c r="A6" s="4" t="n">
        <v>3</v>
      </c>
      <c r="B6" s="4" t="n">
        <v>18</v>
      </c>
      <c r="C6" s="4" t="n">
        <f aca="false">B6-$B$15</f>
        <v>-6.5</v>
      </c>
      <c r="D6" s="4" t="n">
        <f aca="false">C6^2</f>
        <v>42.25</v>
      </c>
      <c r="E6" s="4" t="n">
        <f aca="false">C6/$B$16</f>
        <v>-0.772224238954825</v>
      </c>
    </row>
    <row r="7" customFormat="false" ht="15" hidden="false" customHeight="false" outlineLevel="0" collapsed="false">
      <c r="A7" s="4" t="n">
        <v>4</v>
      </c>
      <c r="B7" s="4" t="n">
        <v>20</v>
      </c>
      <c r="C7" s="4" t="n">
        <f aca="false">B7-$B$15</f>
        <v>-4.5</v>
      </c>
      <c r="D7" s="4" t="n">
        <f aca="false">C7^2</f>
        <v>20.25</v>
      </c>
      <c r="E7" s="4" t="n">
        <f aca="false">C7/$B$16</f>
        <v>-0.534616780814879</v>
      </c>
    </row>
    <row r="8" customFormat="false" ht="15" hidden="false" customHeight="false" outlineLevel="0" collapsed="false">
      <c r="A8" s="4" t="n">
        <v>5</v>
      </c>
      <c r="B8" s="4" t="n">
        <v>22</v>
      </c>
      <c r="C8" s="4" t="n">
        <f aca="false">B8-$B$15</f>
        <v>-2.5</v>
      </c>
      <c r="D8" s="4" t="n">
        <f aca="false">C8^2</f>
        <v>6.25</v>
      </c>
      <c r="E8" s="4" t="n">
        <f aca="false">C8/$B$16</f>
        <v>-0.297009322674932</v>
      </c>
    </row>
    <row r="9" customFormat="false" ht="15" hidden="false" customHeight="false" outlineLevel="0" collapsed="false">
      <c r="A9" s="4" t="n">
        <v>6</v>
      </c>
      <c r="B9" s="4" t="n">
        <v>25</v>
      </c>
      <c r="C9" s="4" t="n">
        <f aca="false">B9-$B$15</f>
        <v>0.5</v>
      </c>
      <c r="D9" s="4" t="n">
        <f aca="false">C9^2</f>
        <v>0.25</v>
      </c>
      <c r="E9" s="4" t="n">
        <f aca="false">C9/$B$16</f>
        <v>0.0594018645349865</v>
      </c>
    </row>
    <row r="10" customFormat="false" ht="15" hidden="false" customHeight="false" outlineLevel="0" collapsed="false">
      <c r="A10" s="4" t="n">
        <v>7</v>
      </c>
      <c r="B10" s="4" t="n">
        <v>28</v>
      </c>
      <c r="C10" s="4" t="n">
        <f aca="false">B10-$B$15</f>
        <v>3.5</v>
      </c>
      <c r="D10" s="4" t="n">
        <f aca="false">C10^2</f>
        <v>12.25</v>
      </c>
      <c r="E10" s="4" t="n">
        <f aca="false">C10/$B$16</f>
        <v>0.415813051744905</v>
      </c>
    </row>
    <row r="11" customFormat="false" ht="15" hidden="false" customHeight="false" outlineLevel="0" collapsed="false">
      <c r="A11" s="4" t="n">
        <v>8</v>
      </c>
      <c r="B11" s="4" t="n">
        <v>30</v>
      </c>
      <c r="C11" s="4" t="n">
        <f aca="false">B11-$B$15</f>
        <v>5.5</v>
      </c>
      <c r="D11" s="4" t="n">
        <f aca="false">C11^2</f>
        <v>30.25</v>
      </c>
      <c r="E11" s="4" t="n">
        <f aca="false">C11/$B$16</f>
        <v>0.653420509884852</v>
      </c>
    </row>
    <row r="12" customFormat="false" ht="15" hidden="false" customHeight="false" outlineLevel="0" collapsed="false">
      <c r="A12" s="4" t="n">
        <v>9</v>
      </c>
      <c r="B12" s="4" t="n">
        <v>35</v>
      </c>
      <c r="C12" s="4" t="n">
        <f aca="false">B12-$B$15</f>
        <v>10.5</v>
      </c>
      <c r="D12" s="4" t="n">
        <f aca="false">C12^2</f>
        <v>110.25</v>
      </c>
      <c r="E12" s="4" t="n">
        <f aca="false">C12/$B$16</f>
        <v>1.24743915523472</v>
      </c>
    </row>
    <row r="13" customFormat="false" ht="15" hidden="false" customHeight="false" outlineLevel="0" collapsed="false">
      <c r="A13" s="4" t="n">
        <v>10</v>
      </c>
      <c r="B13" s="4" t="n">
        <v>40</v>
      </c>
      <c r="C13" s="4" t="n">
        <f aca="false">B13-$B$15</f>
        <v>15.5</v>
      </c>
      <c r="D13" s="4" t="n">
        <f aca="false">C13^2</f>
        <v>240.25</v>
      </c>
      <c r="E13" s="4" t="n">
        <f aca="false">C13/$B$16</f>
        <v>1.84145780058458</v>
      </c>
    </row>
    <row r="14" customFormat="false" ht="15" hidden="false" customHeight="false" outlineLevel="0" collapsed="false">
      <c r="B14" s="8" t="s">
        <v>39</v>
      </c>
      <c r="D14" s="8" t="n">
        <f aca="false">SUM(D4:D13)</f>
        <v>708.5</v>
      </c>
    </row>
    <row r="15" customFormat="false" ht="15" hidden="false" customHeight="false" outlineLevel="0" collapsed="false">
      <c r="A15" s="8" t="s">
        <v>40</v>
      </c>
      <c r="B15" s="8" t="n">
        <f aca="false">AVERAGE(B4:B13)</f>
        <v>24.5</v>
      </c>
    </row>
    <row r="16" customFormat="false" ht="15" hidden="false" customHeight="false" outlineLevel="0" collapsed="false">
      <c r="A16" s="8" t="s">
        <v>41</v>
      </c>
      <c r="B16" s="8" t="n">
        <f aca="false">STDEVP(B4:B13)</f>
        <v>8.41724420460759</v>
      </c>
    </row>
    <row r="18" customFormat="false" ht="15" hidden="false" customHeight="false" outlineLevel="0" collapsed="false">
      <c r="A18" s="2" t="s">
        <v>69</v>
      </c>
      <c r="B18" s="2"/>
      <c r="C18" s="2"/>
      <c r="D18" s="2"/>
      <c r="E18" s="2"/>
    </row>
    <row r="19" customFormat="false" ht="15" hidden="false" customHeight="false" outlineLevel="0" collapsed="false">
      <c r="A19" s="7" t="s">
        <v>70</v>
      </c>
      <c r="B19" s="8" t="n">
        <f aca="false">B15+B16</f>
        <v>32.9172442046076</v>
      </c>
    </row>
    <row r="21" customFormat="false" ht="15" hidden="false" customHeight="false" outlineLevel="0" collapsed="false">
      <c r="A21" s="3" t="s">
        <v>2</v>
      </c>
      <c r="B21" s="3" t="s">
        <v>71</v>
      </c>
      <c r="C21" s="3" t="s">
        <v>44</v>
      </c>
      <c r="D21" s="3" t="s">
        <v>72</v>
      </c>
    </row>
    <row r="22" customFormat="false" ht="15" hidden="false" customHeight="false" outlineLevel="0" collapsed="false">
      <c r="A22" s="4" t="n">
        <v>1</v>
      </c>
      <c r="B22" s="4" t="n">
        <f aca="false">B4</f>
        <v>12</v>
      </c>
      <c r="C22" s="4" t="n">
        <f aca="false">E4</f>
        <v>-1.48504661337466</v>
      </c>
      <c r="D22" s="4" t="str">
        <f aca="false">IF(E4&gt;1,"Yes","No")</f>
        <v>No</v>
      </c>
    </row>
    <row r="23" customFormat="false" ht="15" hidden="false" customHeight="false" outlineLevel="0" collapsed="false">
      <c r="A23" s="4" t="n">
        <v>2</v>
      </c>
      <c r="B23" s="4" t="n">
        <f aca="false">B5</f>
        <v>15</v>
      </c>
      <c r="C23" s="4" t="n">
        <f aca="false">E5</f>
        <v>-1.12863542616474</v>
      </c>
      <c r="D23" s="4" t="str">
        <f aca="false">IF(E5&gt;1,"Yes","No")</f>
        <v>No</v>
      </c>
    </row>
    <row r="24" customFormat="false" ht="15" hidden="false" customHeight="false" outlineLevel="0" collapsed="false">
      <c r="A24" s="4" t="n">
        <v>3</v>
      </c>
      <c r="B24" s="4" t="n">
        <f aca="false">B6</f>
        <v>18</v>
      </c>
      <c r="C24" s="4" t="n">
        <f aca="false">E6</f>
        <v>-0.772224238954825</v>
      </c>
      <c r="D24" s="4" t="str">
        <f aca="false">IF(E6&gt;1,"Yes","No")</f>
        <v>No</v>
      </c>
    </row>
    <row r="25" customFormat="false" ht="15" hidden="false" customHeight="false" outlineLevel="0" collapsed="false">
      <c r="A25" s="4" t="n">
        <v>4</v>
      </c>
      <c r="B25" s="4" t="n">
        <f aca="false">B7</f>
        <v>20</v>
      </c>
      <c r="C25" s="4" t="n">
        <f aca="false">E7</f>
        <v>-0.534616780814879</v>
      </c>
      <c r="D25" s="4" t="str">
        <f aca="false">IF(E7&gt;1,"Yes","No")</f>
        <v>No</v>
      </c>
    </row>
    <row r="26" customFormat="false" ht="15" hidden="false" customHeight="false" outlineLevel="0" collapsed="false">
      <c r="A26" s="4" t="n">
        <v>5</v>
      </c>
      <c r="B26" s="4" t="n">
        <f aca="false">B8</f>
        <v>22</v>
      </c>
      <c r="C26" s="4" t="n">
        <f aca="false">E8</f>
        <v>-0.297009322674932</v>
      </c>
      <c r="D26" s="4" t="str">
        <f aca="false">IF(E8&gt;1,"Yes","No")</f>
        <v>No</v>
      </c>
    </row>
    <row r="27" customFormat="false" ht="15" hidden="false" customHeight="false" outlineLevel="0" collapsed="false">
      <c r="A27" s="4" t="n">
        <v>6</v>
      </c>
      <c r="B27" s="4" t="n">
        <f aca="false">B9</f>
        <v>25</v>
      </c>
      <c r="C27" s="4" t="n">
        <f aca="false">E9</f>
        <v>0.0594018645349865</v>
      </c>
      <c r="D27" s="4" t="str">
        <f aca="false">IF(E9&gt;1,"Yes","No")</f>
        <v>No</v>
      </c>
    </row>
    <row r="28" customFormat="false" ht="15" hidden="false" customHeight="false" outlineLevel="0" collapsed="false">
      <c r="A28" s="4" t="n">
        <v>7</v>
      </c>
      <c r="B28" s="4" t="n">
        <f aca="false">B10</f>
        <v>28</v>
      </c>
      <c r="C28" s="4" t="n">
        <f aca="false">E10</f>
        <v>0.415813051744905</v>
      </c>
      <c r="D28" s="4" t="str">
        <f aca="false">IF(E10&gt;1,"Yes","No")</f>
        <v>No</v>
      </c>
    </row>
    <row r="29" customFormat="false" ht="15" hidden="false" customHeight="false" outlineLevel="0" collapsed="false">
      <c r="A29" s="4" t="n">
        <v>8</v>
      </c>
      <c r="B29" s="4" t="n">
        <f aca="false">B11</f>
        <v>30</v>
      </c>
      <c r="C29" s="4" t="n">
        <f aca="false">E11</f>
        <v>0.653420509884852</v>
      </c>
      <c r="D29" s="4" t="str">
        <f aca="false">IF(E11&gt;1,"Yes","No")</f>
        <v>No</v>
      </c>
    </row>
    <row r="30" customFormat="false" ht="15" hidden="false" customHeight="false" outlineLevel="0" collapsed="false">
      <c r="A30" s="12" t="n">
        <v>9</v>
      </c>
      <c r="B30" s="12" t="n">
        <f aca="false">B12</f>
        <v>35</v>
      </c>
      <c r="C30" s="12" t="n">
        <f aca="false">E12</f>
        <v>1.24743915523472</v>
      </c>
      <c r="D30" s="12" t="str">
        <f aca="false">IF(E12&gt;1,"Yes","No")</f>
        <v>Yes</v>
      </c>
    </row>
    <row r="31" customFormat="false" ht="15" hidden="false" customHeight="false" outlineLevel="0" collapsed="false">
      <c r="A31" s="12" t="n">
        <v>10</v>
      </c>
      <c r="B31" s="12" t="n">
        <f aca="false">B13</f>
        <v>40</v>
      </c>
      <c r="C31" s="12" t="n">
        <f aca="false">E13</f>
        <v>1.84145780058458</v>
      </c>
      <c r="D31" s="12" t="str">
        <f aca="false">IF(E13&gt;1,"Yes","No")</f>
        <v>Yes</v>
      </c>
    </row>
  </sheetData>
  <mergeCells count="2">
    <mergeCell ref="A1:E1"/>
    <mergeCell ref="A18:E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2026-07-29T05:14:50Z</dcterms:created>
  <dc:creator>openpyxl</dc:creator>
  <dc:description/>
  <dc:language>en-US</dc:language>
  <cp:lastModifiedBy/>
  <dcterms:modified xsi:type="dcterms:W3CDTF">2026-07-29T05:14:50Z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